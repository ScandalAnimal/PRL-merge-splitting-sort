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asi\Downloads\"/>
    </mc:Choice>
  </mc:AlternateContent>
  <xr:revisionPtr revIDLastSave="0" documentId="13_ncr:1_{508B7265-7E5D-48DD-B4F4-0EC8021B0C99}" xr6:coauthVersionLast="31" xr6:coauthVersionMax="31" xr10:uidLastSave="{00000000-0000-0000-0000-000000000000}"/>
  <bookViews>
    <workbookView xWindow="0" yWindow="0" windowWidth="28800" windowHeight="12225" activeTab="1" xr2:uid="{69E02450-E997-40F4-B8D0-B497A541B683}"/>
  </bookViews>
  <sheets>
    <sheet name="Hárok2" sheetId="2" r:id="rId1"/>
    <sheet name="Hárok1" sheetId="1" r:id="rId2"/>
  </sheets>
  <calcPr calcId="179017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M13" i="1"/>
  <c r="L13" i="1"/>
  <c r="K13" i="1"/>
  <c r="J13" i="1"/>
  <c r="I13" i="1"/>
  <c r="Q12" i="1"/>
  <c r="P12" i="1"/>
  <c r="O12" i="1"/>
  <c r="N12" i="1"/>
  <c r="M12" i="1"/>
  <c r="L12" i="1"/>
  <c r="K12" i="1"/>
  <c r="J12" i="1"/>
  <c r="I12" i="1"/>
  <c r="I11" i="1"/>
  <c r="Q11" i="1"/>
  <c r="P11" i="1"/>
  <c r="O11" i="1"/>
  <c r="N11" i="1"/>
  <c r="M11" i="1"/>
  <c r="L11" i="1"/>
  <c r="K11" i="1"/>
  <c r="J11" i="1"/>
</calcChain>
</file>

<file path=xl/sharedStrings.xml><?xml version="1.0" encoding="utf-8"?>
<sst xmlns="http://schemas.openxmlformats.org/spreadsheetml/2006/main" count="28" uniqueCount="16">
  <si>
    <t>Proc</t>
  </si>
  <si>
    <t>Cisla</t>
  </si>
  <si>
    <t>cas</t>
  </si>
  <si>
    <t>p = 4</t>
  </si>
  <si>
    <t>p = 8</t>
  </si>
  <si>
    <t>p = 15</t>
  </si>
  <si>
    <t>n =</t>
  </si>
  <si>
    <t>n = 20</t>
  </si>
  <si>
    <t>n = 30</t>
  </si>
  <si>
    <t>n = 50</t>
  </si>
  <si>
    <t>n = 200</t>
  </si>
  <si>
    <t>n = 500</t>
  </si>
  <si>
    <t>n = 1000</t>
  </si>
  <si>
    <t>n = 5000</t>
  </si>
  <si>
    <t>n = 10000</t>
  </si>
  <si>
    <t>n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</si>
</sst>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1" fontId="0" fillId="0" borderId="2" xfId="0" applyNumberFormat="1" applyBorder="1"/>
    <xf numFmtId="1" fontId="0" fillId="0" borderId="4" xfId="0" applyNumberFormat="1" applyBorder="1"/>
    <xf numFmtId="1" fontId="0" fillId="0" borderId="3" xfId="0" applyNumberFormat="1" applyBorder="1"/>
    <xf numFmtId="1" fontId="0" fillId="0" borderId="0" xfId="0" applyNumberFormat="1" applyBorder="1"/>
    <xf numFmtId="0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[Zošit1.xlsx]Hárok2!Kontingenčná tabuľka5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507616"/>
        <c:axId val="567508272"/>
      </c:barChart>
      <c:catAx>
        <c:axId val="56750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67508272"/>
        <c:crosses val="autoZero"/>
        <c:auto val="1"/>
        <c:lblAlgn val="ctr"/>
        <c:lblOffset val="100"/>
        <c:noMultiLvlLbl val="0"/>
      </c:catAx>
      <c:valAx>
        <c:axId val="5675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675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Hárok1!$H$11</c:f>
              <c:strCache>
                <c:ptCount val="1"/>
                <c:pt idx="0">
                  <c:v>p =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Hárok1!$I$10:$Q$10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Hárok1!$I$11:$Q$11</c:f>
              <c:numCache>
                <c:formatCode>General</c:formatCode>
                <c:ptCount val="9"/>
                <c:pt idx="0">
                  <c:v>150</c:v>
                </c:pt>
                <c:pt idx="1">
                  <c:v>485.78409410397467</c:v>
                </c:pt>
                <c:pt idx="2">
                  <c:v>837.37125054200237</c:v>
                </c:pt>
                <c:pt idx="3">
                  <c:v>1000</c:v>
                </c:pt>
                <c:pt idx="4">
                  <c:v>5607.8409410397471</c:v>
                </c:pt>
                <c:pt idx="5">
                  <c:v>9623.7125054200224</c:v>
                </c:pt>
                <c:pt idx="6">
                  <c:v>20000</c:v>
                </c:pt>
                <c:pt idx="7">
                  <c:v>52487.125054200238</c:v>
                </c:pt>
                <c:pt idx="8">
                  <c:v>108737.12505420024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B-4948-B37B-EFB08652C9DA}"/>
            </c:ext>
          </c:extLst>
        </c:ser>
        <c:ser>
          <c:idx val="1"/>
          <c:order val="1"/>
          <c:tx>
            <c:strRef>
              <c:f>Hárok1!$H$12</c:f>
              <c:strCache>
                <c:ptCount val="1"/>
                <c:pt idx="0">
                  <c:v>p = 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Hárok1!$I$10:$Q$10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Hárok1!$I$12:$Q$12</c:f>
              <c:numCache>
                <c:formatCode>General</c:formatCode>
                <c:ptCount val="9"/>
                <c:pt idx="0">
                  <c:v>125</c:v>
                </c:pt>
                <c:pt idx="1">
                  <c:v>392.89204705198733</c:v>
                </c:pt>
                <c:pt idx="2">
                  <c:v>668.68562527100119</c:v>
                </c:pt>
                <c:pt idx="3">
                  <c:v>1000</c:v>
                </c:pt>
                <c:pt idx="4">
                  <c:v>4303.9204705198736</c:v>
                </c:pt>
                <c:pt idx="5">
                  <c:v>7311.8562527100112</c:v>
                </c:pt>
                <c:pt idx="6">
                  <c:v>15000</c:v>
                </c:pt>
                <c:pt idx="7">
                  <c:v>38743.562527100119</c:v>
                </c:pt>
                <c:pt idx="8">
                  <c:v>79368.562527100119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B-4948-B37B-EFB08652C9DA}"/>
            </c:ext>
          </c:extLst>
        </c:ser>
        <c:ser>
          <c:idx val="2"/>
          <c:order val="2"/>
          <c:tx>
            <c:strRef>
              <c:f>Hárok1!$H$13</c:f>
              <c:strCache>
                <c:ptCount val="1"/>
                <c:pt idx="0">
                  <c:v>p = 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Hárok1!$I$10:$Q$10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Hárok1!$I$13:$Q$13</c:f>
              <c:numCache>
                <c:formatCode>General</c:formatCode>
                <c:ptCount val="9"/>
                <c:pt idx="0">
                  <c:v>113.33333333333333</c:v>
                </c:pt>
                <c:pt idx="1">
                  <c:v>349.54242509439325</c:v>
                </c:pt>
                <c:pt idx="2">
                  <c:v>589.96566681120066</c:v>
                </c:pt>
                <c:pt idx="3">
                  <c:v>1000</c:v>
                </c:pt>
                <c:pt idx="4">
                  <c:v>3695.4242509439327</c:v>
                </c:pt>
                <c:pt idx="5">
                  <c:v>6232.9900014453397</c:v>
                </c:pt>
                <c:pt idx="6">
                  <c:v>12666.666666666666</c:v>
                </c:pt>
                <c:pt idx="7">
                  <c:v>32329.900014453397</c:v>
                </c:pt>
                <c:pt idx="8">
                  <c:v>65663.233347786736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7B-4948-B37B-EFB08652C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59224"/>
        <c:axId val="565059552"/>
      </c:lineChart>
      <c:catAx>
        <c:axId val="56505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65059552"/>
        <c:crosses val="autoZero"/>
        <c:auto val="1"/>
        <c:lblAlgn val="ctr"/>
        <c:lblOffset val="100"/>
        <c:noMultiLvlLbl val="0"/>
      </c:catAx>
      <c:valAx>
        <c:axId val="565059552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65059224"/>
        <c:crosses val="autoZero"/>
        <c:crossBetween val="between"/>
        <c:majorUnit val="5000"/>
        <c:min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Hárok1!$H$7</c:f>
              <c:strCache>
                <c:ptCount val="1"/>
                <c:pt idx="0">
                  <c:v>p =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Hárok1!$I$5:$Q$6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Hárok1!$I$7:$Q$7</c:f>
              <c:numCache>
                <c:formatCode>0</c:formatCode>
                <c:ptCount val="9"/>
                <c:pt idx="0">
                  <c:v>972</c:v>
                </c:pt>
                <c:pt idx="1">
                  <c:v>1003</c:v>
                </c:pt>
                <c:pt idx="2">
                  <c:v>1098</c:v>
                </c:pt>
                <c:pt idx="3">
                  <c:v>1129</c:v>
                </c:pt>
                <c:pt idx="4">
                  <c:v>1141</c:v>
                </c:pt>
                <c:pt idx="5">
                  <c:v>1134</c:v>
                </c:pt>
                <c:pt idx="6">
                  <c:v>1178</c:v>
                </c:pt>
                <c:pt idx="7">
                  <c:v>1180</c:v>
                </c:pt>
                <c:pt idx="8">
                  <c:v>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B-4EA2-A733-6A2AF8E14BE2}"/>
            </c:ext>
          </c:extLst>
        </c:ser>
        <c:ser>
          <c:idx val="1"/>
          <c:order val="1"/>
          <c:tx>
            <c:strRef>
              <c:f>Hárok1!$H$8</c:f>
              <c:strCache>
                <c:ptCount val="1"/>
                <c:pt idx="0">
                  <c:v>p = 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Hárok1!$I$5:$Q$6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Hárok1!$I$8:$Q$8</c:f>
              <c:numCache>
                <c:formatCode>0</c:formatCode>
                <c:ptCount val="9"/>
                <c:pt idx="0">
                  <c:v>1104</c:v>
                </c:pt>
                <c:pt idx="1">
                  <c:v>1073</c:v>
                </c:pt>
                <c:pt idx="2">
                  <c:v>1209</c:v>
                </c:pt>
                <c:pt idx="3">
                  <c:v>1201</c:v>
                </c:pt>
                <c:pt idx="4">
                  <c:v>1233</c:v>
                </c:pt>
                <c:pt idx="5">
                  <c:v>1198</c:v>
                </c:pt>
                <c:pt idx="6">
                  <c:v>1134</c:v>
                </c:pt>
                <c:pt idx="7">
                  <c:v>1176</c:v>
                </c:pt>
                <c:pt idx="8">
                  <c:v>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B-4EA2-A733-6A2AF8E14BE2}"/>
            </c:ext>
          </c:extLst>
        </c:ser>
        <c:ser>
          <c:idx val="2"/>
          <c:order val="2"/>
          <c:tx>
            <c:strRef>
              <c:f>Hárok1!$H$9</c:f>
              <c:strCache>
                <c:ptCount val="1"/>
                <c:pt idx="0">
                  <c:v>p = 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Hárok1!$I$5:$Q$6</c:f>
              <c:strCache>
                <c:ptCount val="9"/>
                <c:pt idx="0">
                  <c:v>n = 20</c:v>
                </c:pt>
                <c:pt idx="1">
                  <c:v>n = 30</c:v>
                </c:pt>
                <c:pt idx="2">
                  <c:v>n = 50</c:v>
                </c:pt>
                <c:pt idx="3">
                  <c:v>n = 100</c:v>
                </c:pt>
                <c:pt idx="4">
                  <c:v>n = 200</c:v>
                </c:pt>
                <c:pt idx="5">
                  <c:v>n = 500</c:v>
                </c:pt>
                <c:pt idx="6">
                  <c:v>n = 1000</c:v>
                </c:pt>
                <c:pt idx="7">
                  <c:v>n = 5000</c:v>
                </c:pt>
                <c:pt idx="8">
                  <c:v>n = 10000</c:v>
                </c:pt>
              </c:strCache>
            </c:strRef>
          </c:cat>
          <c:val>
            <c:numRef>
              <c:f>Hárok1!$I$9:$Q$9</c:f>
              <c:numCache>
                <c:formatCode>0</c:formatCode>
                <c:ptCount val="9"/>
                <c:pt idx="0">
                  <c:v>1311</c:v>
                </c:pt>
                <c:pt idx="1">
                  <c:v>1300</c:v>
                </c:pt>
                <c:pt idx="2">
                  <c:v>1243</c:v>
                </c:pt>
                <c:pt idx="3">
                  <c:v>1322</c:v>
                </c:pt>
                <c:pt idx="4">
                  <c:v>1307</c:v>
                </c:pt>
                <c:pt idx="5">
                  <c:v>1297</c:v>
                </c:pt>
                <c:pt idx="6">
                  <c:v>1305</c:v>
                </c:pt>
                <c:pt idx="7">
                  <c:v>1305</c:v>
                </c:pt>
                <c:pt idx="8">
                  <c:v>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B-4EA2-A733-6A2AF8E14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820176"/>
        <c:axId val="699826080"/>
      </c:lineChart>
      <c:catAx>
        <c:axId val="6998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99826080"/>
        <c:crosses val="autoZero"/>
        <c:auto val="1"/>
        <c:lblAlgn val="ctr"/>
        <c:lblOffset val="100"/>
        <c:noMultiLvlLbl val="0"/>
      </c:catAx>
      <c:valAx>
        <c:axId val="6998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9982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F1A7891-10A3-4E7C-A016-744A4EFB7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18</xdr:row>
      <xdr:rowOff>0</xdr:rowOff>
    </xdr:from>
    <xdr:to>
      <xdr:col>26</xdr:col>
      <xdr:colOff>466725</xdr:colOff>
      <xdr:row>48</xdr:row>
      <xdr:rowOff>28575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D98164FA-BEB8-432F-87CE-7F822A64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2</xdr:row>
      <xdr:rowOff>166687</xdr:rowOff>
    </xdr:from>
    <xdr:to>
      <xdr:col>13</xdr:col>
      <xdr:colOff>471487</xdr:colOff>
      <xdr:row>17</xdr:row>
      <xdr:rowOff>52387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B831D2DA-187A-4115-BCE5-51E72BB44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oš Vasilišin" refreshedDate="43198.873335879631" createdVersion="6" refreshedVersion="6" minRefreshableVersion="3" recordCount="9" xr:uid="{21D2E678-E486-44D1-AB80-B394F0FC6483}">
  <cacheSource type="worksheet">
    <worksheetSource ref="D4:F13" sheet="Hárok1"/>
  </cacheSource>
  <cacheFields count="3">
    <cacheField name="4" numFmtId="0">
      <sharedItems/>
    </cacheField>
    <cacheField name="8" numFmtId="0">
      <sharedItems/>
    </cacheField>
    <cacheField name="1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1.003"/>
    <s v="1.104"/>
    <s v="1.311"/>
  </r>
  <r>
    <s v="0.972"/>
    <s v="1.073"/>
    <s v="1.258"/>
  </r>
  <r>
    <s v="1.098"/>
    <s v="1.209"/>
    <s v="1.090"/>
  </r>
  <r>
    <s v="1.129"/>
    <s v="1.139"/>
    <s v="1.245"/>
  </r>
  <r>
    <s v="1.141"/>
    <s v="1.091"/>
    <s v="1.072"/>
  </r>
  <r>
    <s v="1.134"/>
    <s v="1.010"/>
    <s v="1.058"/>
  </r>
  <r>
    <s v="0.982"/>
    <s v="1.014"/>
    <s v="1.067"/>
  </r>
  <r>
    <s v="0.996"/>
    <s v="1.058"/>
    <s v="1.183"/>
  </r>
  <r>
    <s v="1.082"/>
    <s v="1.085"/>
    <s v="1.2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FD16-5A51-457B-BF62-B256CE5BC28B}" name="Kontingenčná tabuľka5" cacheId="9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 chartFormat="1">
  <location ref="A1:C18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72EF-9A53-4BF1-ABB2-21ACC525A326}">
  <dimension ref="A1:C18"/>
  <sheetViews>
    <sheetView workbookViewId="0"/>
  </sheetViews>
  <sheetFormatPr defaultRowHeight="15" x14ac:dyDescent="0.25"/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297C-6241-4F3E-BFCB-BE5D6CECA1F2}">
  <dimension ref="B4:Q35"/>
  <sheetViews>
    <sheetView tabSelected="1" topLeftCell="F3" workbookViewId="0">
      <selection activeCell="Q10" sqref="Q10"/>
    </sheetView>
  </sheetViews>
  <sheetFormatPr defaultRowHeight="15" x14ac:dyDescent="0.25"/>
  <cols>
    <col min="9" max="9" width="11.5703125" bestFit="1" customWidth="1"/>
  </cols>
  <sheetData>
    <row r="4" spans="2:17" x14ac:dyDescent="0.25">
      <c r="B4" s="10" t="s">
        <v>0</v>
      </c>
      <c r="C4" s="10" t="s">
        <v>1</v>
      </c>
      <c r="D4" s="10" t="s">
        <v>2</v>
      </c>
      <c r="E4" s="10"/>
      <c r="F4" s="10"/>
    </row>
    <row r="5" spans="2:17" x14ac:dyDescent="0.25">
      <c r="B5" s="11">
        <v>4</v>
      </c>
      <c r="C5" s="12">
        <v>20</v>
      </c>
      <c r="H5" s="10" t="s">
        <v>6</v>
      </c>
    </row>
    <row r="6" spans="2:17" x14ac:dyDescent="0.25">
      <c r="B6" s="11">
        <v>4</v>
      </c>
      <c r="C6" s="12">
        <v>30</v>
      </c>
      <c r="H6" s="10"/>
      <c r="I6" s="10" t="s">
        <v>7</v>
      </c>
      <c r="J6" s="10" t="s">
        <v>8</v>
      </c>
      <c r="K6" s="10" t="s">
        <v>9</v>
      </c>
      <c r="L6" s="10" t="s">
        <v>15</v>
      </c>
      <c r="M6" s="10" t="s">
        <v>10</v>
      </c>
      <c r="N6" s="10" t="s">
        <v>11</v>
      </c>
      <c r="O6" s="10" t="s">
        <v>12</v>
      </c>
      <c r="P6" s="10" t="s">
        <v>13</v>
      </c>
      <c r="Q6" s="10" t="s">
        <v>14</v>
      </c>
    </row>
    <row r="7" spans="2:17" x14ac:dyDescent="0.25">
      <c r="B7" s="11">
        <v>4</v>
      </c>
      <c r="C7" s="12">
        <v>50</v>
      </c>
      <c r="H7" s="10" t="s">
        <v>3</v>
      </c>
      <c r="I7" s="13">
        <v>972</v>
      </c>
      <c r="J7" s="14">
        <v>1003</v>
      </c>
      <c r="K7" s="14">
        <v>1098</v>
      </c>
      <c r="L7" s="14">
        <v>1129</v>
      </c>
      <c r="M7" s="14">
        <v>1141</v>
      </c>
      <c r="N7" s="14">
        <v>1134</v>
      </c>
      <c r="O7" s="14">
        <v>1178</v>
      </c>
      <c r="P7" s="14">
        <v>1180</v>
      </c>
      <c r="Q7" s="14">
        <v>1192</v>
      </c>
    </row>
    <row r="8" spans="2:17" x14ac:dyDescent="0.25">
      <c r="B8" s="11">
        <v>4</v>
      </c>
      <c r="C8" s="12">
        <v>100</v>
      </c>
      <c r="H8" s="10" t="s">
        <v>4</v>
      </c>
      <c r="I8" s="15">
        <v>1104</v>
      </c>
      <c r="J8" s="16">
        <v>1073</v>
      </c>
      <c r="K8" s="16">
        <v>1209</v>
      </c>
      <c r="L8" s="16">
        <v>1201</v>
      </c>
      <c r="M8" s="16">
        <v>1233</v>
      </c>
      <c r="N8" s="16">
        <v>1198</v>
      </c>
      <c r="O8" s="16">
        <v>1134</v>
      </c>
      <c r="P8" s="16">
        <v>1176</v>
      </c>
      <c r="Q8" s="16">
        <v>1234</v>
      </c>
    </row>
    <row r="9" spans="2:17" x14ac:dyDescent="0.25">
      <c r="B9" s="11">
        <v>4</v>
      </c>
      <c r="C9" s="12">
        <v>200</v>
      </c>
      <c r="H9" s="10" t="s">
        <v>5</v>
      </c>
      <c r="I9" s="15">
        <v>1311</v>
      </c>
      <c r="J9" s="16">
        <v>1300</v>
      </c>
      <c r="K9" s="16">
        <v>1243</v>
      </c>
      <c r="L9" s="16">
        <v>1322</v>
      </c>
      <c r="M9" s="16">
        <v>1307</v>
      </c>
      <c r="N9" s="16">
        <v>1297</v>
      </c>
      <c r="O9" s="16">
        <v>1305</v>
      </c>
      <c r="P9" s="16">
        <v>1305</v>
      </c>
      <c r="Q9" s="16">
        <v>1307</v>
      </c>
    </row>
    <row r="10" spans="2:17" x14ac:dyDescent="0.25">
      <c r="B10" s="11">
        <v>4</v>
      </c>
      <c r="C10" s="12">
        <v>500</v>
      </c>
      <c r="I10" s="10" t="s">
        <v>7</v>
      </c>
      <c r="J10" s="10" t="s">
        <v>8</v>
      </c>
      <c r="K10" s="10" t="s">
        <v>9</v>
      </c>
      <c r="L10" s="10" t="s">
        <v>15</v>
      </c>
      <c r="M10" s="10" t="s">
        <v>10</v>
      </c>
      <c r="N10" s="10" t="s">
        <v>11</v>
      </c>
      <c r="O10" s="10" t="s">
        <v>12</v>
      </c>
      <c r="P10" s="10" t="s">
        <v>13</v>
      </c>
      <c r="Q10" s="10" t="s">
        <v>14</v>
      </c>
    </row>
    <row r="11" spans="2:17" x14ac:dyDescent="0.25">
      <c r="B11" s="11">
        <v>4</v>
      </c>
      <c r="C11" s="12">
        <v>1000</v>
      </c>
      <c r="H11" s="10" t="s">
        <v>3</v>
      </c>
      <c r="I11">
        <f>($I32*(LOG($I32))/$H33) + $I32</f>
        <v>150</v>
      </c>
      <c r="J11">
        <f>($J32*(LOG($J32))/$H33) + $J32</f>
        <v>485.78409410397467</v>
      </c>
      <c r="K11">
        <f>($K32*(LOG($K32))/$H33) + $K32</f>
        <v>837.37125054200237</v>
      </c>
      <c r="L11">
        <f>($LI32*(LOG($L32))/$H33) + $L32</f>
        <v>1000</v>
      </c>
      <c r="M11">
        <f>($M32*(LOG($M32))/$H33) + $M32</f>
        <v>5607.8409410397471</v>
      </c>
      <c r="N11">
        <f>($N32*(LOG($N32))/$H33) + $N32</f>
        <v>9623.7125054200224</v>
      </c>
      <c r="O11">
        <f>($O32*(LOG($O32))/$H33) + $O32</f>
        <v>20000</v>
      </c>
      <c r="P11">
        <f>($P32*(LOG($P32))/$H33) + $P32</f>
        <v>52487.125054200238</v>
      </c>
      <c r="Q11">
        <f>($Q32*(LOG($Q32))/$H33) + $Q32</f>
        <v>108737.12505420024</v>
      </c>
    </row>
    <row r="12" spans="2:17" x14ac:dyDescent="0.25">
      <c r="B12" s="11">
        <v>4</v>
      </c>
      <c r="C12" s="12">
        <v>5000</v>
      </c>
      <c r="H12" s="10" t="s">
        <v>4</v>
      </c>
      <c r="I12">
        <f>($I33*(LOG($I33))/$H34) + $I33</f>
        <v>125</v>
      </c>
      <c r="J12">
        <f>($J33*(LOG($J33))/$H34) + $J33</f>
        <v>392.89204705198733</v>
      </c>
      <c r="K12">
        <f>($K33*(LOG($K33))/$H34) + $K33</f>
        <v>668.68562527100119</v>
      </c>
      <c r="L12">
        <f>($LI33*(LOG($L33))/$H34) + $L33</f>
        <v>1000</v>
      </c>
      <c r="M12">
        <f>($M33*(LOG($M33))/$H34) + $M33</f>
        <v>4303.9204705198736</v>
      </c>
      <c r="N12">
        <f>($N33*(LOG($N33))/$H34) + $N33</f>
        <v>7311.8562527100112</v>
      </c>
      <c r="O12">
        <f>($O33*(LOG($O33))/$H34) + $O33</f>
        <v>15000</v>
      </c>
      <c r="P12">
        <f>($P33*(LOG($P33))/$H34) + $P33</f>
        <v>38743.562527100119</v>
      </c>
      <c r="Q12">
        <f>($Q33*(LOG($Q33))/$H34) + $Q33</f>
        <v>79368.562527100119</v>
      </c>
    </row>
    <row r="13" spans="2:17" x14ac:dyDescent="0.25">
      <c r="B13" s="11">
        <v>4</v>
      </c>
      <c r="C13" s="12">
        <v>10000</v>
      </c>
      <c r="H13" s="10" t="s">
        <v>5</v>
      </c>
      <c r="I13">
        <f>($I34*(LOG($I34))/$H35) + $I34</f>
        <v>113.33333333333333</v>
      </c>
      <c r="J13">
        <f>($J34*(LOG($J34))/$H35) + $J34</f>
        <v>349.54242509439325</v>
      </c>
      <c r="K13">
        <f>($K34*(LOG($K34))/$H35) + $K34</f>
        <v>589.96566681120066</v>
      </c>
      <c r="L13">
        <f>($LI34*(LOG($L34))/$H35) + $L34</f>
        <v>1000</v>
      </c>
      <c r="M13">
        <f>($M34*(LOG($M34))/$H35) + $M34</f>
        <v>3695.4242509439327</v>
      </c>
      <c r="N13">
        <f>($N34*(LOG($N34))/$H35) + $N34</f>
        <v>6232.9900014453397</v>
      </c>
      <c r="O13">
        <f>($O34*(LOG($O34))/$H35) + $O34</f>
        <v>12666.666666666666</v>
      </c>
      <c r="P13">
        <f>($P34*(LOG($P34))/$H35) + $P34</f>
        <v>32329.900014453397</v>
      </c>
      <c r="Q13">
        <f>($Q34*(LOG($Q34))/$H35) + $Q34</f>
        <v>65663.233347786736</v>
      </c>
    </row>
    <row r="14" spans="2:17" x14ac:dyDescent="0.25">
      <c r="B14" s="11">
        <v>8</v>
      </c>
      <c r="C14" s="12">
        <v>20</v>
      </c>
    </row>
    <row r="15" spans="2:17" x14ac:dyDescent="0.25">
      <c r="B15" s="11">
        <v>8</v>
      </c>
      <c r="C15" s="12">
        <v>30</v>
      </c>
    </row>
    <row r="16" spans="2:17" x14ac:dyDescent="0.25">
      <c r="B16" s="11">
        <v>8</v>
      </c>
      <c r="C16" s="12">
        <v>50</v>
      </c>
    </row>
    <row r="17" spans="2:17" x14ac:dyDescent="0.25">
      <c r="B17" s="11">
        <v>8</v>
      </c>
      <c r="C17" s="12">
        <v>100</v>
      </c>
    </row>
    <row r="18" spans="2:17" x14ac:dyDescent="0.25">
      <c r="B18" s="11">
        <v>8</v>
      </c>
      <c r="C18" s="12">
        <v>200</v>
      </c>
    </row>
    <row r="19" spans="2:17" x14ac:dyDescent="0.25">
      <c r="B19" s="11">
        <v>8</v>
      </c>
      <c r="C19" s="12">
        <v>500</v>
      </c>
    </row>
    <row r="20" spans="2:17" x14ac:dyDescent="0.25">
      <c r="B20" s="11">
        <v>8</v>
      </c>
      <c r="C20" s="12">
        <v>1000</v>
      </c>
    </row>
    <row r="21" spans="2:17" x14ac:dyDescent="0.25">
      <c r="B21" s="11">
        <v>8</v>
      </c>
      <c r="C21" s="12">
        <v>5000</v>
      </c>
    </row>
    <row r="22" spans="2:17" x14ac:dyDescent="0.25">
      <c r="B22" s="11">
        <v>8</v>
      </c>
      <c r="C22" s="12">
        <v>10000</v>
      </c>
    </row>
    <row r="23" spans="2:17" x14ac:dyDescent="0.25">
      <c r="B23" s="11">
        <v>15</v>
      </c>
      <c r="C23" s="12">
        <v>20</v>
      </c>
    </row>
    <row r="24" spans="2:17" x14ac:dyDescent="0.25">
      <c r="B24" s="11">
        <v>15</v>
      </c>
      <c r="C24" s="12">
        <v>30</v>
      </c>
    </row>
    <row r="25" spans="2:17" x14ac:dyDescent="0.25">
      <c r="B25" s="11">
        <v>15</v>
      </c>
      <c r="C25" s="12">
        <v>50</v>
      </c>
    </row>
    <row r="26" spans="2:17" x14ac:dyDescent="0.25">
      <c r="B26" s="11">
        <v>15</v>
      </c>
      <c r="C26" s="12">
        <v>100</v>
      </c>
    </row>
    <row r="27" spans="2:17" x14ac:dyDescent="0.25">
      <c r="B27" s="11">
        <v>15</v>
      </c>
      <c r="C27" s="12">
        <v>200</v>
      </c>
    </row>
    <row r="28" spans="2:17" x14ac:dyDescent="0.25">
      <c r="B28" s="11">
        <v>15</v>
      </c>
      <c r="C28" s="12">
        <v>500</v>
      </c>
    </row>
    <row r="29" spans="2:17" x14ac:dyDescent="0.25">
      <c r="B29" s="11">
        <v>15</v>
      </c>
      <c r="C29" s="12">
        <v>1000</v>
      </c>
    </row>
    <row r="30" spans="2:17" x14ac:dyDescent="0.25">
      <c r="B30" s="11">
        <v>15</v>
      </c>
      <c r="C30" s="12">
        <v>5000</v>
      </c>
    </row>
    <row r="31" spans="2:17" x14ac:dyDescent="0.25">
      <c r="B31" s="11">
        <v>15</v>
      </c>
      <c r="C31" s="12">
        <v>10000</v>
      </c>
    </row>
    <row r="32" spans="2:17" x14ac:dyDescent="0.25">
      <c r="I32" s="17">
        <v>100</v>
      </c>
      <c r="J32" s="17">
        <v>300</v>
      </c>
      <c r="K32" s="17">
        <v>500</v>
      </c>
      <c r="L32" s="17">
        <v>1000</v>
      </c>
      <c r="M32" s="17">
        <v>3000</v>
      </c>
      <c r="N32" s="17">
        <v>5000</v>
      </c>
      <c r="O32" s="17">
        <v>10000</v>
      </c>
      <c r="P32" s="17">
        <v>25000</v>
      </c>
      <c r="Q32" s="17">
        <v>50000</v>
      </c>
    </row>
    <row r="33" spans="8:17" x14ac:dyDescent="0.25">
      <c r="H33">
        <v>4</v>
      </c>
      <c r="I33" s="17">
        <v>100</v>
      </c>
      <c r="J33" s="17">
        <v>300</v>
      </c>
      <c r="K33" s="17">
        <v>500</v>
      </c>
      <c r="L33" s="17">
        <v>1000</v>
      </c>
      <c r="M33" s="17">
        <v>3000</v>
      </c>
      <c r="N33" s="17">
        <v>5000</v>
      </c>
      <c r="O33" s="17">
        <v>10000</v>
      </c>
      <c r="P33" s="17">
        <v>25000</v>
      </c>
      <c r="Q33" s="17">
        <v>50000</v>
      </c>
    </row>
    <row r="34" spans="8:17" x14ac:dyDescent="0.25">
      <c r="H34">
        <v>8</v>
      </c>
      <c r="I34" s="17">
        <v>100</v>
      </c>
      <c r="J34" s="17">
        <v>300</v>
      </c>
      <c r="K34" s="17">
        <v>500</v>
      </c>
      <c r="L34" s="17">
        <v>1000</v>
      </c>
      <c r="M34" s="17">
        <v>3000</v>
      </c>
      <c r="N34" s="17">
        <v>5000</v>
      </c>
      <c r="O34" s="17">
        <v>10000</v>
      </c>
      <c r="P34" s="17">
        <v>25000</v>
      </c>
      <c r="Q34" s="17">
        <v>50000</v>
      </c>
    </row>
    <row r="35" spans="8:17" x14ac:dyDescent="0.25">
      <c r="H3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Hárok2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Maroš Vasilišin</dc:creator>
  <cp:lastModifiedBy>Maroš Vasilišin</cp:lastModifiedBy>
  <dcterms:created xsi:type="dcterms:W3CDTF">2018-04-08T18:39:03Z</dcterms:created>
  <dcterms:modified xsi:type="dcterms:W3CDTF">2018-04-08T20:44:03Z</dcterms:modified>
</cp:coreProperties>
</file>